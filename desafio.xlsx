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yanex\Desktop\"/>
    </mc:Choice>
  </mc:AlternateContent>
  <xr:revisionPtr revIDLastSave="0" documentId="8_{CAE7F7AA-75C3-4667-9C47-94D995AA2980}" xr6:coauthVersionLast="47" xr6:coauthVersionMax="47" xr10:uidLastSave="{00000000-0000-0000-0000-000000000000}"/>
  <bookViews>
    <workbookView xWindow="-120" yWindow="-120" windowWidth="20730" windowHeight="11160" xr2:uid="{763C3AE0-A5AA-44FE-85FD-9E72A8562848}"/>
  </bookViews>
  <sheets>
    <sheet name="DESAF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3" l="1" a="1"/>
  <c r="J22" i="3" s="1"/>
  <c r="G22" i="3" a="1"/>
  <c r="G22" i="3" s="1"/>
  <c r="L15" i="3" a="1"/>
  <c r="L15" i="3" s="1"/>
  <c r="L11" i="3" a="1"/>
  <c r="L11" i="3" s="1"/>
  <c r="G18" i="3" a="1"/>
  <c r="G18" i="3" s="1"/>
  <c r="D24" i="3"/>
  <c r="C24" i="3"/>
  <c r="B24" i="3"/>
  <c r="C22" i="3"/>
  <c r="D22" i="3"/>
  <c r="C23" i="3"/>
  <c r="D23" i="3"/>
  <c r="B23" i="3"/>
  <c r="B22" i="3"/>
  <c r="H16" i="3"/>
  <c r="D20" i="3"/>
  <c r="C20" i="3"/>
  <c r="B20" i="3"/>
  <c r="C18" i="3"/>
  <c r="D18" i="3"/>
  <c r="C19" i="3"/>
  <c r="D19" i="3"/>
  <c r="B19" i="3"/>
  <c r="B18" i="3"/>
  <c r="G16" i="3"/>
  <c r="C16" i="3"/>
  <c r="D16" i="3"/>
  <c r="B16" i="3"/>
  <c r="D15" i="3"/>
  <c r="C15" i="3"/>
  <c r="B15" i="3"/>
  <c r="G15" i="3"/>
  <c r="C14" i="3"/>
  <c r="D14" i="3"/>
  <c r="B1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<sst xmlns="http://schemas.openxmlformats.org/spreadsheetml/2006/main" count="13" uniqueCount="13">
  <si>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A=</t>
  </si>
  <si>
    <t>B=</t>
  </si>
  <si>
    <t>'-f21 *a1i + a2i</t>
  </si>
  <si>
    <t>U_0</t>
  </si>
  <si>
    <t>U_1</t>
  </si>
  <si>
    <t>L=</t>
  </si>
  <si>
    <t>U_2 = U</t>
  </si>
  <si>
    <t>LxU=A=</t>
  </si>
  <si>
    <t>INV(L)</t>
  </si>
  <si>
    <t>INV(U)</t>
  </si>
  <si>
    <t>SOLUCION EN OCTAVE</t>
  </si>
  <si>
    <t>D=INV(L)*B=</t>
  </si>
  <si>
    <t>X=INV(U)*D=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</si>
</sst>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8" borderId="1" xfId="0" applyFill="1" applyBorder="1"/>
    <xf numFmtId="0" fontId="1" fillId="0" borderId="0" xfId="0" applyFont="1"/>
    <xf numFmtId="0" fontId="0" fillId="3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656568</xdr:colOff>
      <xdr:row>6</xdr:row>
      <xdr:rowOff>104619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6B93DF-3899-31D1-B6E4-FFDE7DDC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57143" cy="1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286326</xdr:colOff>
      <xdr:row>56</xdr:row>
      <xdr:rowOff>29350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C616E6-1138-5AE1-F35F-C660EA3A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143500"/>
          <a:ext cx="4124901" cy="555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1163-C39E-45F0-9C86-C2862D084267}">
  <dimension ref="A10:N26"/>
  <sheetViews>
    <sheetView tabSelected="1" workbookViewId="0">
      <selection activeCell="K18" sqref="K18"/>
    </sheetView>
  </sheetViews>
  <sheetFormatPr baseColWidth="10" defaultRowHeight="15" x14ac:dyDescent="0.25"/>
  <cols>
    <col min="2" max="2" width="11.85546875" bestFit="1" customWidth="1"/>
  </cols>
  <sheetData>
    <row r="10" spans="1:14" x14ac:dyDescent="0.25">
      <c r="B10" s="2">
        <v>8</v>
      </c>
      <c r="C10" s="2">
        <v>4</v>
      </c>
      <c r="D10" s="2">
        <v>-1</v>
      </c>
      <c r="G10" s="3">
        <v>11</v>
      </c>
      <c r="H10" t="s">
        <v>2</v>
      </c>
    </row>
    <row r="11" spans="1:14" x14ac:dyDescent="0.25">
      <c r="A11" s="1" t="s">
        <v>0</v>
      </c>
      <c r="B11" s="2">
        <v>-2</v>
      </c>
      <c r="C11" s="2">
        <v>5</v>
      </c>
      <c r="D11" s="2">
        <v>1</v>
      </c>
      <c r="F11" s="4" t="s">
        <v>1</v>
      </c>
      <c r="G11" s="3">
        <v>4</v>
      </c>
      <c r="L11" s="6" cm="1">
        <f t="array" ref="L11:N13">MINVERSE(G14:I16)</f>
        <v>1</v>
      </c>
      <c r="M11" s="6">
        <v>0</v>
      </c>
      <c r="N11" s="6">
        <v>0</v>
      </c>
    </row>
    <row r="12" spans="1:14" x14ac:dyDescent="0.25">
      <c r="B12" s="2">
        <v>2</v>
      </c>
      <c r="C12" s="2">
        <v>-1</v>
      </c>
      <c r="D12" s="2">
        <v>6</v>
      </c>
      <c r="G12" s="3">
        <v>7</v>
      </c>
      <c r="K12" t="s">
        <v>8</v>
      </c>
      <c r="L12" s="6">
        <v>0.25</v>
      </c>
      <c r="M12" s="6">
        <v>1</v>
      </c>
      <c r="N12" s="6">
        <v>0</v>
      </c>
    </row>
    <row r="13" spans="1:14" x14ac:dyDescent="0.25">
      <c r="L13" s="6">
        <v>-0.16666666666666669</v>
      </c>
      <c r="M13" s="6">
        <v>0.33333333333333331</v>
      </c>
      <c r="N13" s="6">
        <v>1</v>
      </c>
    </row>
    <row r="14" spans="1:14" x14ac:dyDescent="0.25">
      <c r="B14" s="6">
        <f>+B10</f>
        <v>8</v>
      </c>
      <c r="C14" s="6">
        <f t="shared" ref="C14:D14" si="0">+C10</f>
        <v>4</v>
      </c>
      <c r="D14" s="6">
        <f t="shared" si="0"/>
        <v>-1</v>
      </c>
      <c r="G14" s="5">
        <v>1</v>
      </c>
      <c r="H14" s="5">
        <v>0</v>
      </c>
      <c r="I14" s="5">
        <v>0</v>
      </c>
    </row>
    <row r="15" spans="1:14" x14ac:dyDescent="0.25">
      <c r="A15" t="s">
        <v>3</v>
      </c>
      <c r="B15" s="6">
        <f>-G15*B14+B11</f>
        <v>0</v>
      </c>
      <c r="C15" s="6">
        <f>-G15*C10+C11</f>
        <v>6</v>
      </c>
      <c r="D15" s="6">
        <f>-G15*D10+D11</f>
        <v>0.75</v>
      </c>
      <c r="F15" t="s">
        <v>5</v>
      </c>
      <c r="G15" s="7">
        <f>B11/B10</f>
        <v>-0.25</v>
      </c>
      <c r="H15" s="5">
        <v>1</v>
      </c>
      <c r="I15" s="5">
        <v>0</v>
      </c>
      <c r="L15" s="8" cm="1">
        <f t="array" ref="L15:N17">MINVERSE(B22:D24)</f>
        <v>0.125</v>
      </c>
      <c r="M15" s="8">
        <v>-8.3333333333333329E-2</v>
      </c>
      <c r="N15" s="8">
        <v>2.8846153846153848E-2</v>
      </c>
    </row>
    <row r="16" spans="1:14" x14ac:dyDescent="0.25">
      <c r="B16" s="6">
        <f>B12</f>
        <v>2</v>
      </c>
      <c r="C16" s="6">
        <f t="shared" ref="C16:D16" si="1">C12</f>
        <v>-1</v>
      </c>
      <c r="D16" s="6">
        <f t="shared" si="1"/>
        <v>6</v>
      </c>
      <c r="G16" s="7">
        <f>B16/B14</f>
        <v>0.25</v>
      </c>
      <c r="H16" s="7">
        <f>C20/C19</f>
        <v>-0.33333333333333331</v>
      </c>
      <c r="I16" s="5">
        <v>1</v>
      </c>
      <c r="K16" t="s">
        <v>9</v>
      </c>
      <c r="L16" s="8">
        <v>0</v>
      </c>
      <c r="M16" s="8">
        <v>0.16666666666666666</v>
      </c>
      <c r="N16" s="8">
        <v>-1.9230769230769232E-2</v>
      </c>
    </row>
    <row r="17" spans="1:14" x14ac:dyDescent="0.25">
      <c r="L17" s="8">
        <v>0</v>
      </c>
      <c r="M17" s="8">
        <v>0</v>
      </c>
      <c r="N17" s="8">
        <v>0.15384615384615385</v>
      </c>
    </row>
    <row r="18" spans="1:14" x14ac:dyDescent="0.25">
      <c r="B18" s="6">
        <f>B14</f>
        <v>8</v>
      </c>
      <c r="C18" s="6">
        <f t="shared" ref="C18:D18" si="2">C14</f>
        <v>4</v>
      </c>
      <c r="D18" s="6">
        <f t="shared" si="2"/>
        <v>-1</v>
      </c>
      <c r="G18" s="8" cm="1">
        <f t="array" ref="G18:I20">MMULT(G14:I16,B22:D24)</f>
        <v>8</v>
      </c>
      <c r="H18" s="8">
        <v>4</v>
      </c>
      <c r="I18" s="8">
        <v>-1</v>
      </c>
    </row>
    <row r="19" spans="1:14" x14ac:dyDescent="0.25">
      <c r="A19" t="s">
        <v>4</v>
      </c>
      <c r="B19" s="6">
        <f>B15</f>
        <v>0</v>
      </c>
      <c r="C19" s="6">
        <f t="shared" ref="C19:D19" si="3">C15</f>
        <v>6</v>
      </c>
      <c r="D19" s="6">
        <f t="shared" si="3"/>
        <v>0.75</v>
      </c>
      <c r="F19" t="s">
        <v>7</v>
      </c>
      <c r="G19" s="8">
        <v>-2</v>
      </c>
      <c r="H19" s="8">
        <v>5</v>
      </c>
      <c r="I19" s="8">
        <v>1</v>
      </c>
    </row>
    <row r="20" spans="1:14" x14ac:dyDescent="0.25">
      <c r="B20" s="6">
        <f>-G16*B14+B16</f>
        <v>0</v>
      </c>
      <c r="C20" s="6">
        <f>-G16*C14+C16</f>
        <v>-2</v>
      </c>
      <c r="D20" s="6">
        <f>-G16*D14+D16</f>
        <v>6.25</v>
      </c>
      <c r="G20" s="8">
        <v>2</v>
      </c>
      <c r="H20" s="8">
        <v>-1</v>
      </c>
      <c r="I20" s="8">
        <v>6</v>
      </c>
    </row>
    <row r="22" spans="1:14" x14ac:dyDescent="0.25">
      <c r="B22" s="6">
        <f>B18</f>
        <v>8</v>
      </c>
      <c r="C22" s="6">
        <f t="shared" ref="C22:D22" si="4">C18</f>
        <v>4</v>
      </c>
      <c r="D22" s="6">
        <f t="shared" si="4"/>
        <v>-1</v>
      </c>
      <c r="G22" s="10" cm="1">
        <f t="array" ref="G22:G24">MMULT(_xlfn.ANCHORARRAY(L11),G10:G12)</f>
        <v>11</v>
      </c>
      <c r="J22" s="11" cm="1">
        <f t="array" ref="J22:J24">MMULT(_xlfn.ANCHORARRAY(L15),_xlfn.ANCHORARRAY(G22))</f>
        <v>1</v>
      </c>
    </row>
    <row r="23" spans="1:14" x14ac:dyDescent="0.25">
      <c r="A23" t="s">
        <v>6</v>
      </c>
      <c r="B23" s="6">
        <f>B19</f>
        <v>0</v>
      </c>
      <c r="C23" s="6">
        <f t="shared" ref="C23:D23" si="5">C19</f>
        <v>6</v>
      </c>
      <c r="D23" s="6">
        <f t="shared" si="5"/>
        <v>0.75</v>
      </c>
      <c r="F23" t="s">
        <v>11</v>
      </c>
      <c r="G23" s="10">
        <v>6.75</v>
      </c>
      <c r="I23" t="s">
        <v>12</v>
      </c>
      <c r="J23" s="11">
        <v>1</v>
      </c>
    </row>
    <row r="24" spans="1:14" x14ac:dyDescent="0.25">
      <c r="B24" s="6">
        <f>B20</f>
        <v>0</v>
      </c>
      <c r="C24" s="6">
        <f>-H16*C19+C20</f>
        <v>0</v>
      </c>
      <c r="D24" s="6">
        <f>-H16*D19+D20</f>
        <v>6.5</v>
      </c>
      <c r="G24" s="10">
        <v>6.5</v>
      </c>
      <c r="J24" s="11">
        <v>1</v>
      </c>
    </row>
    <row r="26" spans="1:14" x14ac:dyDescent="0.25">
      <c r="B26" s="9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DESAFIO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Brayanex</cp:lastModifiedBy>
  <dcterms:created xsi:type="dcterms:W3CDTF">2022-09-20T14:34:01Z</dcterms:created>
  <dcterms:modified xsi:type="dcterms:W3CDTF">2026-03-26T16:12:31Z</dcterms:modified>
</cp:coreProperties>
</file>